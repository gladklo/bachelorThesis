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n.pfeifer\Desktop\Bachelor\Tests\"/>
    </mc:Choice>
  </mc:AlternateContent>
  <xr:revisionPtr revIDLastSave="0" documentId="13_ncr:1_{758B824F-DCE1-438A-A4FA-46132A6770B7}" xr6:coauthVersionLast="47" xr6:coauthVersionMax="47" xr10:uidLastSave="{00000000-0000-0000-0000-000000000000}"/>
  <bookViews>
    <workbookView xWindow="-23148" yWindow="876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F24" i="2"/>
  <c r="F26" i="2"/>
  <c r="F27" i="2"/>
  <c r="F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Pfeifer</author>
  </authors>
  <commentList>
    <comment ref="E3" authorId="0" shapeId="0" xr:uid="{53AD63AE-3352-4011-A4D9-AEA95818B976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0" shapeId="0" xr:uid="{2E164A78-CBC2-4A81-A333-FF291B98EC66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5728B6F0-34FA-41A6-8615-49849075F95D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" authorId="0" shapeId="0" xr:uid="{5A210EB5-C72A-417F-9C5F-BE88ABCADAB8}">
      <text>
        <r>
          <rPr>
            <b/>
            <sz val="9"/>
            <color indexed="81"/>
            <rFont val="Tahoma"/>
            <family val="2"/>
          </rPr>
          <t>Jan Pfeifer: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<sst xmlns="http://schemas.openxmlformats.org/spreadsheetml/2006/main" count="420" uniqueCount="259">
  <si>
    <t>Entwickler:</t>
  </si>
  <si>
    <t>Power User:</t>
  </si>
  <si>
    <t>SAP erfahrung , wenig EA:</t>
  </si>
  <si>
    <t>Guan Yu</t>
  </si>
  <si>
    <t>Arthur</t>
  </si>
  <si>
    <t>Naeem</t>
  </si>
  <si>
    <t>Johannes Lenssen</t>
  </si>
  <si>
    <t>Robert Berger</t>
  </si>
  <si>
    <t>Leon Grimmm</t>
  </si>
  <si>
    <t>Florens Reschke</t>
  </si>
  <si>
    <t>Doreen Knoll</t>
  </si>
  <si>
    <t>Christian Kämmerer</t>
  </si>
  <si>
    <t>Michael Gudd</t>
  </si>
  <si>
    <t>Jannik Pisot</t>
  </si>
  <si>
    <t>Kyra Honert</t>
  </si>
  <si>
    <t>Michael Emmerich</t>
  </si>
  <si>
    <t>Marion Lux</t>
  </si>
  <si>
    <t>Ute Meinert</t>
  </si>
  <si>
    <t>Person</t>
  </si>
  <si>
    <t>Zugesagt?</t>
  </si>
  <si>
    <t>Termin</t>
  </si>
  <si>
    <t>X</t>
  </si>
  <si>
    <t>Nico</t>
  </si>
  <si>
    <t>Silas</t>
  </si>
  <si>
    <t>PV</t>
  </si>
  <si>
    <t>Termin Zugesagt?</t>
  </si>
  <si>
    <t>Jacqueline</t>
  </si>
  <si>
    <t>04.03.2026</t>
  </si>
  <si>
    <t>Abgesagt</t>
  </si>
  <si>
    <t>,-</t>
  </si>
  <si>
    <t>12.03 13Uhr</t>
  </si>
  <si>
    <t>16.03 10Uhr</t>
  </si>
  <si>
    <t>12.03 11Uhr</t>
  </si>
  <si>
    <t>12.03 14.30Uhr</t>
  </si>
  <si>
    <t>13.03 11Uhr</t>
  </si>
  <si>
    <t>13.03 15Uhr</t>
  </si>
  <si>
    <t>13.03 13Uhr</t>
  </si>
  <si>
    <t>12.03 16Uhr</t>
  </si>
  <si>
    <t>16.03 13.30Uhr</t>
  </si>
  <si>
    <t>12.03 9Uhr</t>
  </si>
  <si>
    <t>10.03 13Uhr</t>
  </si>
  <si>
    <t>EA User Erstellt?</t>
  </si>
  <si>
    <t>Fertig?</t>
  </si>
  <si>
    <t>Frage</t>
  </si>
  <si>
    <t>Jacquline</t>
  </si>
  <si>
    <t>Devs</t>
  </si>
  <si>
    <t>Power User</t>
  </si>
  <si>
    <t>Johannes</t>
  </si>
  <si>
    <t>Leon</t>
  </si>
  <si>
    <t>Robert</t>
  </si>
  <si>
    <t>Florens</t>
  </si>
  <si>
    <t>x</t>
  </si>
  <si>
    <t>Jannik</t>
  </si>
  <si>
    <t>Ute</t>
  </si>
  <si>
    <t>Kyra</t>
  </si>
  <si>
    <t>Michael</t>
  </si>
  <si>
    <t>Wenig EA</t>
  </si>
  <si>
    <t>CHATBOT</t>
  </si>
  <si>
    <t>EA / Eigen</t>
  </si>
  <si>
    <t>18/44</t>
  </si>
  <si>
    <t>28/44</t>
  </si>
  <si>
    <t>20/55</t>
  </si>
  <si>
    <t>29/86</t>
  </si>
  <si>
    <t>Sobald man alle Daten hat dauert das copy pasten ca 60 sekunden</t>
  </si>
  <si>
    <t>27/55</t>
  </si>
  <si>
    <t>17/40</t>
  </si>
  <si>
    <t>21/52</t>
  </si>
  <si>
    <t>11/20</t>
  </si>
  <si>
    <t>14/23</t>
  </si>
  <si>
    <t>14/28</t>
  </si>
  <si>
    <t>30</t>
  </si>
  <si>
    <t>18/26</t>
  </si>
  <si>
    <t>30 ✅</t>
  </si>
  <si>
    <t>25 ✅</t>
  </si>
  <si>
    <t>20/50</t>
  </si>
  <si>
    <t>90</t>
  </si>
  <si>
    <t>28/90</t>
  </si>
  <si>
    <t>19</t>
  </si>
  <si>
    <t>42/55</t>
  </si>
  <si>
    <t>111</t>
  </si>
  <si>
    <t>35</t>
  </si>
  <si>
    <t>86/113</t>
  </si>
  <si>
    <t>50</t>
  </si>
  <si>
    <t>18</t>
  </si>
  <si>
    <t>23</t>
  </si>
  <si>
    <t>18/42</t>
  </si>
  <si>
    <t>35/45</t>
  </si>
  <si>
    <t>21/29</t>
  </si>
  <si>
    <t>40/44</t>
  </si>
  <si>
    <t>15/48</t>
  </si>
  <si>
    <t>39</t>
  </si>
  <si>
    <t>18/71</t>
  </si>
  <si>
    <t>30/51</t>
  </si>
  <si>
    <t>22/45</t>
  </si>
  <si>
    <t>11/55</t>
  </si>
  <si>
    <t>16/30</t>
  </si>
  <si>
    <t>22/34</t>
  </si>
  <si>
    <t>19/29</t>
  </si>
  <si>
    <t>25/48</t>
  </si>
  <si>
    <t>95</t>
  </si>
  <si>
    <t>28</t>
  </si>
  <si>
    <t>45</t>
  </si>
  <si>
    <t>22</t>
  </si>
  <si>
    <t>29</t>
  </si>
  <si>
    <t>17</t>
  </si>
  <si>
    <t>177✅</t>
  </si>
  <si>
    <t>40✅</t>
  </si>
  <si>
    <t>✅ = Wusste die Antwort bereits</t>
  </si>
  <si>
    <t>29/55</t>
  </si>
  <si>
    <t>25/60</t>
  </si>
  <si>
    <t>35/60</t>
  </si>
  <si>
    <t>120</t>
  </si>
  <si>
    <t>35/56</t>
  </si>
  <si>
    <t xml:space="preserve">Wen n sie wussten wo die Lösung ist sparen sie sich bisschen zeit aber wenn sie garnicht wissen </t>
  </si>
  <si>
    <t>32</t>
  </si>
  <si>
    <t>24/45</t>
  </si>
  <si>
    <t>65</t>
  </si>
  <si>
    <t>157</t>
  </si>
  <si>
    <t>Wenn kundensystem in SAP GUI verfügbar ist und man angemeldet ist: 45sek</t>
  </si>
  <si>
    <t>-&gt; Aber es muss auch in der auslieferung verfügbar sein</t>
  </si>
  <si>
    <t>13/25</t>
  </si>
  <si>
    <t>171</t>
  </si>
  <si>
    <t>143</t>
  </si>
  <si>
    <t>11/19</t>
  </si>
  <si>
    <t>30/34</t>
  </si>
  <si>
    <t>25/53</t>
  </si>
  <si>
    <t>19/72</t>
  </si>
  <si>
    <t>14/56</t>
  </si>
  <si>
    <t>93</t>
  </si>
  <si>
    <t>32/49</t>
  </si>
  <si>
    <t>32/48</t>
  </si>
  <si>
    <t>86/155*</t>
  </si>
  <si>
    <t>* So lange weil falsch ausgedrückt</t>
  </si>
  <si>
    <t>42/66</t>
  </si>
  <si>
    <t>23/46</t>
  </si>
  <si>
    <t>104</t>
  </si>
  <si>
    <t>15/22</t>
  </si>
  <si>
    <t>21/32</t>
  </si>
  <si>
    <t>+45 sek wegen der query der 5 tabellen</t>
  </si>
  <si>
    <t>21/28</t>
  </si>
  <si>
    <t>23/49</t>
  </si>
  <si>
    <t>26/79</t>
  </si>
  <si>
    <t>26/46</t>
  </si>
  <si>
    <t>34/61</t>
  </si>
  <si>
    <t>25/44</t>
  </si>
  <si>
    <t>12/20</t>
  </si>
  <si>
    <t>MEHRWERT NICTH BEI EINFACHEN ABRAGEN SONDERN BEI MEHRSCHRITTIGEN UND INFO KOMBINATION</t>
  </si>
  <si>
    <t>31/42</t>
  </si>
  <si>
    <t>20/32</t>
  </si>
  <si>
    <t>14/35</t>
  </si>
  <si>
    <t>37</t>
  </si>
  <si>
    <t>13/73</t>
  </si>
  <si>
    <t>alles hier bringt nur was wenn</t>
  </si>
  <si>
    <t>die nutzer zugriff aufs system haben</t>
  </si>
  <si>
    <t>35/47</t>
  </si>
  <si>
    <t>Am anfang direkt sagen, dass die User es mit dem EA machen müssen weil Systemzugriff zu dem zeitpunkt nicht besteht?</t>
  </si>
  <si>
    <t>Alle ausser die Devs haben das Kundensystem benutzen müssen bei fragen 7,8 und 10 (wenn da kein X steht)</t>
  </si>
  <si>
    <t>20/49</t>
  </si>
  <si>
    <t>21</t>
  </si>
  <si>
    <t>29/52</t>
  </si>
  <si>
    <t>113</t>
  </si>
  <si>
    <t>13/24</t>
  </si>
  <si>
    <t>47</t>
  </si>
  <si>
    <t>37/64</t>
  </si>
  <si>
    <t>48/101</t>
  </si>
  <si>
    <t>105</t>
  </si>
  <si>
    <t>30/43</t>
  </si>
  <si>
    <t>15/79</t>
  </si>
  <si>
    <t>Dauert lange wegen mehreren Abfragen</t>
  </si>
  <si>
    <t>Dauert Lange wegen mehreren Abfragen</t>
  </si>
  <si>
    <t>20</t>
  </si>
  <si>
    <t>85</t>
  </si>
  <si>
    <t>32/54</t>
  </si>
  <si>
    <t>27/51</t>
  </si>
  <si>
    <t>17/53</t>
  </si>
  <si>
    <t>28/54</t>
  </si>
  <si>
    <t>(krank)</t>
  </si>
  <si>
    <t>13/21</t>
  </si>
  <si>
    <t>16/21</t>
  </si>
  <si>
    <t>152</t>
  </si>
  <si>
    <t>22/29</t>
  </si>
  <si>
    <t>39/62</t>
  </si>
  <si>
    <t>42/74</t>
  </si>
  <si>
    <t>27/49</t>
  </si>
  <si>
    <t>26/51</t>
  </si>
  <si>
    <t>28/58</t>
  </si>
  <si>
    <t>19/57</t>
  </si>
  <si>
    <t>16/27</t>
  </si>
  <si>
    <t>16/25</t>
  </si>
  <si>
    <t>21/27</t>
  </si>
  <si>
    <t>Wenn gefunden dann einfach durch suchen in den Apps (keine wusste das Doku exisitert=</t>
  </si>
  <si>
    <t>102</t>
  </si>
  <si>
    <t>133</t>
  </si>
  <si>
    <t>137</t>
  </si>
  <si>
    <t>Ohne EA muss man jede Tabelle angucken</t>
  </si>
  <si>
    <t>165</t>
  </si>
  <si>
    <t>Avg.</t>
  </si>
  <si>
    <t>22/72</t>
  </si>
  <si>
    <t>46/86</t>
  </si>
  <si>
    <t>43/70</t>
  </si>
  <si>
    <t>18/47</t>
  </si>
  <si>
    <t>34/64</t>
  </si>
  <si>
    <t>15/46</t>
  </si>
  <si>
    <t>24/32</t>
  </si>
  <si>
    <t>19/30</t>
  </si>
  <si>
    <t>26/33</t>
  </si>
  <si>
    <t>38/78</t>
  </si>
  <si>
    <t>31/49</t>
  </si>
  <si>
    <t>26/49</t>
  </si>
  <si>
    <t>17/63</t>
  </si>
  <si>
    <t>14/25</t>
  </si>
  <si>
    <t>13/22</t>
  </si>
  <si>
    <t>22/27</t>
  </si>
  <si>
    <t>21/46</t>
  </si>
  <si>
    <t>19/75</t>
  </si>
  <si>
    <t>31/47</t>
  </si>
  <si>
    <t>27/47</t>
  </si>
  <si>
    <t>21/49</t>
  </si>
  <si>
    <t>X = Hat zum finden der Antwort Länger als 3 Min oder wusste nicht wie man das findet</t>
  </si>
  <si>
    <t>(test)</t>
  </si>
  <si>
    <t>Avg 1-6</t>
  </si>
  <si>
    <t>Avg 7-10</t>
  </si>
  <si>
    <t>Avg 1-10</t>
  </si>
  <si>
    <t>All</t>
  </si>
  <si>
    <t>6</t>
  </si>
  <si>
    <t>84</t>
  </si>
  <si>
    <t>(180)</t>
  </si>
  <si>
    <t>✅</t>
  </si>
  <si>
    <t>(180)✅</t>
  </si>
  <si>
    <t>110</t>
  </si>
  <si>
    <t>124</t>
  </si>
  <si>
    <t>Im System nachsehen 120Sek im EA 20-45</t>
  </si>
  <si>
    <t>81</t>
  </si>
  <si>
    <t>52,33</t>
  </si>
  <si>
    <t>Hat im System nachgeschaut (wusste nichts im EA)</t>
  </si>
  <si>
    <t>100,75</t>
  </si>
  <si>
    <t>71,70</t>
  </si>
  <si>
    <t>29,67/64,17</t>
  </si>
  <si>
    <t>29,33/59</t>
  </si>
  <si>
    <t>25,67/54</t>
  </si>
  <si>
    <t>28,22/59,06</t>
  </si>
  <si>
    <t>72,00</t>
  </si>
  <si>
    <t>15/67</t>
  </si>
  <si>
    <t>17/71</t>
  </si>
  <si>
    <t>21/77</t>
  </si>
  <si>
    <t>18/72</t>
  </si>
  <si>
    <t>17/70</t>
  </si>
  <si>
    <t>15/69</t>
  </si>
  <si>
    <t>14/68</t>
  </si>
  <si>
    <t>25/78</t>
  </si>
  <si>
    <t>28/78</t>
  </si>
  <si>
    <t>22/75</t>
  </si>
  <si>
    <t>22/42,5</t>
  </si>
  <si>
    <t>16,5/36</t>
  </si>
  <si>
    <t>19/38,75</t>
  </si>
  <si>
    <t>26,60/55,50</t>
  </si>
  <si>
    <t>24,20/49,8</t>
  </si>
  <si>
    <t>23/47,9</t>
  </si>
  <si>
    <t>19,17/39,08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</si>
</sst>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49" fontId="5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49" fontId="1" fillId="0" borderId="2" xfId="0" applyNumberFormat="1" applyFont="1" applyBorder="1"/>
    <xf numFmtId="49" fontId="0" fillId="0" borderId="2" xfId="0" applyNumberFormat="1" applyBorder="1"/>
    <xf numFmtId="49" fontId="0" fillId="0" borderId="4" xfId="0" applyNumberFormat="1" applyBorder="1"/>
    <xf numFmtId="49" fontId="0" fillId="0" borderId="3" xfId="0" applyNumberFormat="1" applyBorder="1"/>
    <xf numFmtId="49" fontId="0" fillId="0" borderId="1" xfId="0" applyNumberFormat="1" applyBorder="1"/>
    <xf numFmtId="49" fontId="6" fillId="0" borderId="0" xfId="0" applyNumberFormat="1" applyFont="1"/>
    <xf numFmtId="0" fontId="0" fillId="0" borderId="0" xfId="0" quotePrefix="1"/>
    <xf numFmtId="49" fontId="0" fillId="0" borderId="0" xfId="0" quotePrefix="1" applyNumberFormat="1"/>
    <xf numFmtId="2" fontId="0" fillId="0" borderId="1" xfId="0" applyNumberFormat="1" applyBorder="1"/>
    <xf numFmtId="2" fontId="0" fillId="0" borderId="0" xfId="0" applyNumberFormat="1"/>
    <xf numFmtId="49" fontId="1" fillId="0" borderId="3" xfId="0" applyNumberFormat="1" applyFont="1" applyBorder="1"/>
    <xf numFmtId="0" fontId="1" fillId="0" borderId="2" xfId="0" applyFont="1" applyBorder="1"/>
    <xf numFmtId="0" fontId="1" fillId="0" borderId="3" xfId="0" applyFont="1" applyBorder="1"/>
    <xf numFmtId="49" fontId="1" fillId="0" borderId="6" xfId="0" applyNumberFormat="1" applyFont="1" applyBorder="1"/>
    <xf numFmtId="49" fontId="1" fillId="0" borderId="5" xfId="0" applyNumberFormat="1" applyFont="1" applyBorder="1"/>
    <xf numFmtId="49" fontId="7" fillId="0" borderId="1" xfId="0" applyNumberFormat="1" applyFont="1" applyBorder="1"/>
    <xf numFmtId="49" fontId="7" fillId="0" borderId="3" xfId="0" applyNumberFormat="1" applyFont="1" applyBorder="1"/>
    <xf numFmtId="49" fontId="7" fillId="2" borderId="3" xfId="0" applyNumberFormat="1" applyFont="1" applyFill="1" applyBorder="1"/>
    <xf numFmtId="0" fontId="7" fillId="2" borderId="3" xfId="0" applyFont="1" applyFill="1" applyBorder="1"/>
    <xf numFmtId="49" fontId="0" fillId="0" borderId="0" xfId="0" applyNumberFormat="1" applyBorder="1"/>
    <xf numFmtId="49" fontId="7" fillId="2" borderId="0" xfId="0" applyNumberFormat="1" applyFont="1" applyFill="1" applyBorder="1"/>
    <xf numFmtId="49" fontId="7" fillId="0" borderId="0" xfId="0" applyNumberFormat="1" applyFont="1" applyBorder="1"/>
    <xf numFmtId="0" fontId="7" fillId="2" borderId="0" xfId="0" applyFont="1" applyFill="1" applyBorder="1"/>
    <xf numFmtId="49" fontId="1" fillId="0" borderId="0" xfId="0" applyNumberFormat="1" applyFont="1" applyBorder="1"/>
    <xf numFmtId="0" fontId="0" fillId="0" borderId="7" xfId="0" applyBorder="1"/>
    <xf numFmtId="0" fontId="1" fillId="0" borderId="7" xfId="0" applyFont="1" applyBorder="1"/>
    <xf numFmtId="49" fontId="8" fillId="0" borderId="1" xfId="0" applyNumberFormat="1" applyFont="1" applyBorder="1"/>
    <xf numFmtId="49" fontId="0" fillId="0" borderId="0" xfId="0" applyNumberFormat="1" applyFill="1" applyBorder="1"/>
    <xf numFmtId="49" fontId="0" fillId="3" borderId="1" xfId="0" applyNumberFormat="1" applyFill="1" applyBorder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27"/>
  <sheetViews>
    <sheetView zoomScale="115" zoomScaleNormal="115" workbookViewId="0">
      <selection activeCell="F12" sqref="F12"/>
    </sheetView>
  </sheetViews>
  <sheetFormatPr defaultRowHeight="15" x14ac:dyDescent="0.25"/>
  <cols>
    <col min="3" max="3" width="23.5703125" customWidth="1"/>
    <col min="4" max="4" width="10.140625" customWidth="1"/>
    <col min="5" max="5" width="18.140625" customWidth="1"/>
    <col min="8" max="8" width="15.140625" customWidth="1"/>
  </cols>
  <sheetData>
    <row r="1" spans="3:9" x14ac:dyDescent="0.25">
      <c r="C1" t="s">
        <v>18</v>
      </c>
      <c r="D1" t="s">
        <v>19</v>
      </c>
      <c r="E1" t="s">
        <v>20</v>
      </c>
      <c r="F1" t="s">
        <v>25</v>
      </c>
      <c r="H1" t="s">
        <v>41</v>
      </c>
      <c r="I1" t="s">
        <v>42</v>
      </c>
    </row>
    <row r="3" spans="3:9" x14ac:dyDescent="0.25">
      <c r="C3" s="1" t="s">
        <v>0</v>
      </c>
    </row>
    <row r="4" spans="3:9" x14ac:dyDescent="0.25">
      <c r="C4" t="s">
        <v>26</v>
      </c>
      <c r="D4" t="s">
        <v>21</v>
      </c>
      <c r="E4" t="s">
        <v>30</v>
      </c>
      <c r="F4" t="s">
        <v>21</v>
      </c>
      <c r="I4" t="s">
        <v>21</v>
      </c>
    </row>
    <row r="5" spans="3:9" x14ac:dyDescent="0.25">
      <c r="C5" t="s">
        <v>3</v>
      </c>
      <c r="D5" t="s">
        <v>21</v>
      </c>
      <c r="E5" t="s">
        <v>31</v>
      </c>
      <c r="F5" t="s">
        <v>21</v>
      </c>
    </row>
    <row r="6" spans="3:9" x14ac:dyDescent="0.25">
      <c r="C6" t="s">
        <v>4</v>
      </c>
      <c r="D6" t="s">
        <v>21</v>
      </c>
      <c r="E6" t="s">
        <v>27</v>
      </c>
      <c r="F6" t="s">
        <v>21</v>
      </c>
      <c r="I6" t="s">
        <v>21</v>
      </c>
    </row>
    <row r="7" spans="3:9" x14ac:dyDescent="0.25">
      <c r="C7" t="s">
        <v>5</v>
      </c>
      <c r="D7" t="s">
        <v>21</v>
      </c>
      <c r="E7" t="s">
        <v>32</v>
      </c>
      <c r="F7" t="s">
        <v>21</v>
      </c>
      <c r="I7" t="s">
        <v>21</v>
      </c>
    </row>
    <row r="9" spans="3:9" x14ac:dyDescent="0.25">
      <c r="C9" s="1" t="s">
        <v>1</v>
      </c>
    </row>
    <row r="10" spans="3:9" x14ac:dyDescent="0.25">
      <c r="C10" t="s">
        <v>6</v>
      </c>
      <c r="D10" t="s">
        <v>21</v>
      </c>
      <c r="E10" t="s">
        <v>39</v>
      </c>
      <c r="F10" t="s">
        <v>21</v>
      </c>
      <c r="H10" t="s">
        <v>21</v>
      </c>
    </row>
    <row r="11" spans="3:9" x14ac:dyDescent="0.25">
      <c r="C11" t="s">
        <v>7</v>
      </c>
      <c r="D11" t="s">
        <v>21</v>
      </c>
      <c r="E11" t="s">
        <v>33</v>
      </c>
      <c r="F11" t="s">
        <v>21</v>
      </c>
      <c r="H11" t="s">
        <v>21</v>
      </c>
    </row>
    <row r="12" spans="3:9" x14ac:dyDescent="0.25">
      <c r="C12" t="s">
        <v>8</v>
      </c>
      <c r="D12" t="s">
        <v>21</v>
      </c>
      <c r="E12" t="s">
        <v>34</v>
      </c>
      <c r="F12" t="s">
        <v>21</v>
      </c>
      <c r="H12" t="s">
        <v>21</v>
      </c>
    </row>
    <row r="13" spans="3:9" x14ac:dyDescent="0.25">
      <c r="C13" t="s">
        <v>9</v>
      </c>
      <c r="D13" t="s">
        <v>21</v>
      </c>
      <c r="E13" t="s">
        <v>35</v>
      </c>
    </row>
    <row r="14" spans="3:9" x14ac:dyDescent="0.25">
      <c r="C14" t="s">
        <v>10</v>
      </c>
      <c r="D14" t="s">
        <v>29</v>
      </c>
    </row>
    <row r="15" spans="3:9" x14ac:dyDescent="0.25">
      <c r="C15" t="s">
        <v>11</v>
      </c>
      <c r="D15" t="s">
        <v>29</v>
      </c>
    </row>
    <row r="17" spans="3:9" x14ac:dyDescent="0.25">
      <c r="C17" s="1" t="s">
        <v>2</v>
      </c>
    </row>
    <row r="18" spans="3:9" x14ac:dyDescent="0.25">
      <c r="C18" t="s">
        <v>12</v>
      </c>
      <c r="D18" t="s">
        <v>28</v>
      </c>
    </row>
    <row r="19" spans="3:9" x14ac:dyDescent="0.25">
      <c r="C19" t="s">
        <v>13</v>
      </c>
      <c r="D19" t="s">
        <v>21</v>
      </c>
      <c r="E19" t="s">
        <v>36</v>
      </c>
      <c r="F19" t="s">
        <v>21</v>
      </c>
      <c r="H19" t="s">
        <v>21</v>
      </c>
    </row>
    <row r="20" spans="3:9" x14ac:dyDescent="0.25">
      <c r="C20" t="s">
        <v>14</v>
      </c>
      <c r="D20" t="s">
        <v>21</v>
      </c>
      <c r="E20" t="s">
        <v>37</v>
      </c>
      <c r="F20" t="s">
        <v>21</v>
      </c>
      <c r="H20" t="s">
        <v>21</v>
      </c>
    </row>
    <row r="21" spans="3:9" x14ac:dyDescent="0.25">
      <c r="C21" t="s">
        <v>15</v>
      </c>
      <c r="D21" t="s">
        <v>29</v>
      </c>
    </row>
    <row r="22" spans="3:9" x14ac:dyDescent="0.25">
      <c r="C22" t="s">
        <v>16</v>
      </c>
      <c r="D22" t="s">
        <v>29</v>
      </c>
    </row>
    <row r="23" spans="3:9" x14ac:dyDescent="0.25">
      <c r="C23" t="s">
        <v>17</v>
      </c>
      <c r="D23" t="s">
        <v>21</v>
      </c>
      <c r="E23" t="s">
        <v>38</v>
      </c>
      <c r="F23" t="s">
        <v>21</v>
      </c>
      <c r="H23" t="s">
        <v>21</v>
      </c>
    </row>
    <row r="25" spans="3:9" x14ac:dyDescent="0.25">
      <c r="C25" s="1" t="s">
        <v>24</v>
      </c>
    </row>
    <row r="26" spans="3:9" x14ac:dyDescent="0.25">
      <c r="C26" t="s">
        <v>23</v>
      </c>
      <c r="D26" t="s">
        <v>21</v>
      </c>
    </row>
    <row r="27" spans="3:9" x14ac:dyDescent="0.25">
      <c r="C27" t="s">
        <v>22</v>
      </c>
      <c r="D27" t="s">
        <v>21</v>
      </c>
      <c r="E27" t="s">
        <v>40</v>
      </c>
      <c r="F27" t="s">
        <v>21</v>
      </c>
      <c r="I27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F838-D37E-43F1-9603-5D22905EA269}">
  <dimension ref="A1:XFB40"/>
  <sheetViews>
    <sheetView tabSelected="1" workbookViewId="0">
      <selection activeCell="P17" sqref="P17"/>
    </sheetView>
  </sheetViews>
  <sheetFormatPr defaultRowHeight="15" x14ac:dyDescent="0.25"/>
  <cols>
    <col min="1" max="1" width="8.28515625" customWidth="1"/>
    <col min="6" max="6" width="11.28515625" customWidth="1"/>
    <col min="11" max="11" width="9.7109375" customWidth="1"/>
    <col min="16" max="16" width="10" customWidth="1"/>
  </cols>
  <sheetData>
    <row r="1" spans="1:20 16382:16382" ht="21" x14ac:dyDescent="0.35">
      <c r="A1" s="3" t="s">
        <v>57</v>
      </c>
      <c r="B1" s="4"/>
      <c r="C1" s="5" t="s">
        <v>219</v>
      </c>
      <c r="D1" s="4"/>
      <c r="E1" s="4"/>
      <c r="F1" s="4"/>
      <c r="G1" s="4"/>
      <c r="H1" s="4"/>
      <c r="I1" s="4"/>
      <c r="J1" s="5" t="s">
        <v>176</v>
      </c>
      <c r="L1" s="4"/>
      <c r="M1" s="4"/>
      <c r="N1" s="4"/>
      <c r="O1" s="5" t="s">
        <v>176</v>
      </c>
    </row>
    <row r="2" spans="1:20 16382:16382" x14ac:dyDescent="0.25">
      <c r="A2" s="4"/>
      <c r="B2" s="5" t="s">
        <v>45</v>
      </c>
      <c r="C2" s="4"/>
      <c r="D2" s="4"/>
      <c r="E2" s="4"/>
      <c r="F2" s="4"/>
      <c r="G2" s="5" t="s">
        <v>46</v>
      </c>
      <c r="H2" s="4"/>
      <c r="I2" s="4"/>
      <c r="J2" s="4"/>
      <c r="L2" s="5" t="s">
        <v>56</v>
      </c>
      <c r="M2" s="4"/>
      <c r="N2" s="4"/>
      <c r="O2" s="4"/>
    </row>
    <row r="3" spans="1:20 16382:16382" x14ac:dyDescent="0.25">
      <c r="A3" s="6" t="s">
        <v>43</v>
      </c>
      <c r="B3" s="4" t="s">
        <v>22</v>
      </c>
      <c r="C3" s="4" t="s">
        <v>4</v>
      </c>
      <c r="D3" s="4" t="s">
        <v>5</v>
      </c>
      <c r="E3" s="7" t="s">
        <v>44</v>
      </c>
      <c r="F3" s="6" t="s">
        <v>196</v>
      </c>
      <c r="G3" s="4" t="s">
        <v>47</v>
      </c>
      <c r="H3" s="4" t="s">
        <v>48</v>
      </c>
      <c r="I3" s="4" t="s">
        <v>49</v>
      </c>
      <c r="J3" s="7" t="s">
        <v>50</v>
      </c>
      <c r="K3" s="17" t="s">
        <v>196</v>
      </c>
      <c r="L3" s="4" t="s">
        <v>52</v>
      </c>
      <c r="M3" s="4" t="s">
        <v>53</v>
      </c>
      <c r="N3" s="4" t="s">
        <v>54</v>
      </c>
      <c r="O3" s="8" t="s">
        <v>55</v>
      </c>
      <c r="P3" s="29" t="s">
        <v>196</v>
      </c>
      <c r="Q3" s="30"/>
      <c r="R3" s="33" t="s">
        <v>223</v>
      </c>
    </row>
    <row r="4" spans="1:20 16382:16382" x14ac:dyDescent="0.25">
      <c r="A4" s="9">
        <v>1</v>
      </c>
      <c r="B4" s="10" t="s">
        <v>89</v>
      </c>
      <c r="C4" s="34">
        <v>29</v>
      </c>
      <c r="D4" s="10" t="s">
        <v>74</v>
      </c>
      <c r="E4" s="9" t="s">
        <v>59</v>
      </c>
      <c r="F4" s="16" t="s">
        <v>200</v>
      </c>
      <c r="G4" s="10" t="s">
        <v>163</v>
      </c>
      <c r="H4" s="10" t="s">
        <v>108</v>
      </c>
      <c r="I4" s="10" t="s">
        <v>181</v>
      </c>
      <c r="J4" s="9" t="s">
        <v>51</v>
      </c>
      <c r="K4" s="18" t="s">
        <v>110</v>
      </c>
      <c r="L4" s="10" t="s">
        <v>125</v>
      </c>
      <c r="M4" s="10" t="s">
        <v>149</v>
      </c>
      <c r="N4" s="10" t="s">
        <v>140</v>
      </c>
      <c r="O4" s="9" t="s">
        <v>51</v>
      </c>
      <c r="P4" s="18" t="s">
        <v>213</v>
      </c>
      <c r="Q4" s="30"/>
      <c r="T4" s="4" t="s">
        <v>155</v>
      </c>
    </row>
    <row r="5" spans="1:20 16382:16382" x14ac:dyDescent="0.25">
      <c r="A5" s="7">
        <v>2</v>
      </c>
      <c r="B5" s="4" t="s">
        <v>91</v>
      </c>
      <c r="C5" s="35"/>
      <c r="D5" s="4" t="s">
        <v>76</v>
      </c>
      <c r="E5" s="7" t="s">
        <v>61</v>
      </c>
      <c r="F5" s="6" t="s">
        <v>197</v>
      </c>
      <c r="G5" s="4" t="s">
        <v>164</v>
      </c>
      <c r="H5" s="4" t="s">
        <v>109</v>
      </c>
      <c r="I5" s="4" t="s">
        <v>182</v>
      </c>
      <c r="J5" s="7" t="s">
        <v>51</v>
      </c>
      <c r="K5" s="17" t="s">
        <v>206</v>
      </c>
      <c r="L5" s="4" t="s">
        <v>126</v>
      </c>
      <c r="M5" s="4" t="s">
        <v>151</v>
      </c>
      <c r="N5" s="4" t="s">
        <v>141</v>
      </c>
      <c r="O5" s="7" t="s">
        <v>51</v>
      </c>
      <c r="P5" s="17" t="s">
        <v>214</v>
      </c>
      <c r="Q5" s="30"/>
      <c r="T5" s="4" t="s">
        <v>168</v>
      </c>
    </row>
    <row r="6" spans="1:20 16382:16382" x14ac:dyDescent="0.25">
      <c r="A6" s="7">
        <v>3</v>
      </c>
      <c r="B6" s="4" t="s">
        <v>92</v>
      </c>
      <c r="C6" s="35"/>
      <c r="D6" s="4" t="s">
        <v>78</v>
      </c>
      <c r="E6" s="7" t="s">
        <v>62</v>
      </c>
      <c r="F6" s="6" t="s">
        <v>201</v>
      </c>
      <c r="G6" s="4" t="s">
        <v>166</v>
      </c>
      <c r="H6" s="4" t="s">
        <v>112</v>
      </c>
      <c r="I6" s="4" t="s">
        <v>183</v>
      </c>
      <c r="J6" s="7" t="s">
        <v>51</v>
      </c>
      <c r="K6" s="17" t="s">
        <v>207</v>
      </c>
      <c r="L6" s="4" t="s">
        <v>129</v>
      </c>
      <c r="M6" s="4" t="s">
        <v>154</v>
      </c>
      <c r="N6" s="4" t="s">
        <v>142</v>
      </c>
      <c r="O6" s="7" t="s">
        <v>51</v>
      </c>
      <c r="P6" s="17" t="s">
        <v>215</v>
      </c>
      <c r="Q6" s="30"/>
    </row>
    <row r="7" spans="1:20 16382:16382" x14ac:dyDescent="0.25">
      <c r="A7" s="7">
        <v>4</v>
      </c>
      <c r="B7" s="4" t="s">
        <v>98</v>
      </c>
      <c r="C7" s="35"/>
      <c r="D7" s="4" t="s">
        <v>131</v>
      </c>
      <c r="E7" s="7" t="s">
        <v>64</v>
      </c>
      <c r="F7" s="6" t="s">
        <v>198</v>
      </c>
      <c r="G7" s="4" t="s">
        <v>173</v>
      </c>
      <c r="H7" s="4" t="s">
        <v>115</v>
      </c>
      <c r="I7" s="4" t="s">
        <v>184</v>
      </c>
      <c r="J7" s="7" t="s">
        <v>51</v>
      </c>
      <c r="K7" s="17" t="s">
        <v>208</v>
      </c>
      <c r="L7" s="4" t="s">
        <v>130</v>
      </c>
      <c r="M7" s="4" t="s">
        <v>157</v>
      </c>
      <c r="N7" s="4" t="s">
        <v>60</v>
      </c>
      <c r="O7" s="7" t="s">
        <v>51</v>
      </c>
      <c r="P7" s="17" t="s">
        <v>216</v>
      </c>
      <c r="Q7" s="30"/>
    </row>
    <row r="8" spans="1:20 16382:16382" x14ac:dyDescent="0.25">
      <c r="A8" s="7">
        <v>5</v>
      </c>
      <c r="B8" s="4" t="s">
        <v>93</v>
      </c>
      <c r="C8" s="35"/>
      <c r="D8" s="4" t="s">
        <v>81</v>
      </c>
      <c r="E8" s="7" t="s">
        <v>66</v>
      </c>
      <c r="F8" s="6" t="s">
        <v>199</v>
      </c>
      <c r="G8" s="4" t="s">
        <v>172</v>
      </c>
      <c r="H8" s="4" t="s">
        <v>175</v>
      </c>
      <c r="I8" s="4" t="s">
        <v>185</v>
      </c>
      <c r="J8" s="7" t="s">
        <v>51</v>
      </c>
      <c r="K8" s="17" t="s">
        <v>108</v>
      </c>
      <c r="L8" s="4" t="s">
        <v>133</v>
      </c>
      <c r="M8" s="4" t="s">
        <v>159</v>
      </c>
      <c r="N8" s="4" t="s">
        <v>143</v>
      </c>
      <c r="O8" s="7" t="s">
        <v>51</v>
      </c>
      <c r="P8" s="17" t="s">
        <v>110</v>
      </c>
      <c r="Q8" s="30"/>
    </row>
    <row r="9" spans="1:20 16382:16382" x14ac:dyDescent="0.25">
      <c r="A9" s="7">
        <v>6</v>
      </c>
      <c r="B9" s="4" t="s">
        <v>94</v>
      </c>
      <c r="C9" s="35"/>
      <c r="D9" s="4" t="s">
        <v>85</v>
      </c>
      <c r="E9" s="7" t="s">
        <v>65</v>
      </c>
      <c r="F9" s="6" t="s">
        <v>202</v>
      </c>
      <c r="G9" s="4" t="s">
        <v>167</v>
      </c>
      <c r="H9" s="4" t="s">
        <v>174</v>
      </c>
      <c r="I9" s="4" t="s">
        <v>186</v>
      </c>
      <c r="J9" s="7" t="s">
        <v>51</v>
      </c>
      <c r="K9" s="17" t="s">
        <v>209</v>
      </c>
      <c r="L9" s="4" t="s">
        <v>134</v>
      </c>
      <c r="M9" s="4" t="s">
        <v>127</v>
      </c>
      <c r="N9" s="4" t="s">
        <v>144</v>
      </c>
      <c r="O9" s="7" t="s">
        <v>51</v>
      </c>
      <c r="P9" s="17" t="s">
        <v>217</v>
      </c>
      <c r="Q9" s="30"/>
      <c r="T9" s="4" t="s">
        <v>169</v>
      </c>
    </row>
    <row r="10" spans="1:20 16382:16382" x14ac:dyDescent="0.25">
      <c r="A10" s="9" t="s">
        <v>220</v>
      </c>
      <c r="B10" s="10"/>
      <c r="C10" s="34"/>
      <c r="D10" s="10"/>
      <c r="E10" s="9"/>
      <c r="F10" s="23" t="s">
        <v>237</v>
      </c>
      <c r="G10" s="21"/>
      <c r="H10" s="21"/>
      <c r="I10" s="21"/>
      <c r="J10" s="22"/>
      <c r="K10" s="24" t="s">
        <v>238</v>
      </c>
      <c r="L10" s="21"/>
      <c r="M10" s="21"/>
      <c r="N10" s="21"/>
      <c r="O10" s="22"/>
      <c r="P10" s="24" t="s">
        <v>239</v>
      </c>
      <c r="Q10" s="31"/>
      <c r="R10" t="s">
        <v>240</v>
      </c>
      <c r="T10" s="4"/>
    </row>
    <row r="11" spans="1:20 16382:16382" x14ac:dyDescent="0.25">
      <c r="A11" s="9">
        <v>7</v>
      </c>
      <c r="B11" s="10" t="s">
        <v>95</v>
      </c>
      <c r="C11" s="34">
        <v>90</v>
      </c>
      <c r="D11" s="10" t="s">
        <v>86</v>
      </c>
      <c r="E11" s="9" t="s">
        <v>67</v>
      </c>
      <c r="F11" s="16" t="s">
        <v>137</v>
      </c>
      <c r="G11" s="10" t="s">
        <v>68</v>
      </c>
      <c r="H11" s="10" t="s">
        <v>120</v>
      </c>
      <c r="I11" s="10" t="s">
        <v>187</v>
      </c>
      <c r="J11" s="9" t="s">
        <v>51</v>
      </c>
      <c r="K11" s="18" t="s">
        <v>210</v>
      </c>
      <c r="L11" s="10" t="s">
        <v>136</v>
      </c>
      <c r="M11" s="10" t="s">
        <v>161</v>
      </c>
      <c r="N11" s="10" t="s">
        <v>145</v>
      </c>
      <c r="O11" s="9" t="s">
        <v>51</v>
      </c>
      <c r="P11" s="18" t="s">
        <v>211</v>
      </c>
      <c r="Q11" s="30"/>
      <c r="XFB11" s="2"/>
    </row>
    <row r="12" spans="1:20 16382:16382" x14ac:dyDescent="0.25">
      <c r="A12" s="7">
        <v>8</v>
      </c>
      <c r="B12" s="4" t="s">
        <v>250</v>
      </c>
      <c r="C12" s="35"/>
      <c r="D12" s="4" t="s">
        <v>249</v>
      </c>
      <c r="E12" s="7" t="s">
        <v>248</v>
      </c>
      <c r="F12" s="6" t="s">
        <v>251</v>
      </c>
      <c r="G12" s="4" t="s">
        <v>247</v>
      </c>
      <c r="H12" s="4" t="s">
        <v>246</v>
      </c>
      <c r="I12" s="4" t="s">
        <v>245</v>
      </c>
      <c r="J12" s="7" t="s">
        <v>51</v>
      </c>
      <c r="K12" s="17" t="s">
        <v>246</v>
      </c>
      <c r="L12" s="4" t="s">
        <v>244</v>
      </c>
      <c r="M12" s="4" t="s">
        <v>243</v>
      </c>
      <c r="N12" s="4" t="s">
        <v>242</v>
      </c>
      <c r="O12" s="7" t="s">
        <v>51</v>
      </c>
      <c r="P12" s="17" t="s">
        <v>245</v>
      </c>
      <c r="Q12" s="30"/>
      <c r="T12" s="12" t="s">
        <v>138</v>
      </c>
    </row>
    <row r="13" spans="1:20 16382:16382" x14ac:dyDescent="0.25">
      <c r="A13" s="7">
        <v>9</v>
      </c>
      <c r="B13" s="4" t="s">
        <v>96</v>
      </c>
      <c r="C13" s="35"/>
      <c r="D13" s="4" t="s">
        <v>87</v>
      </c>
      <c r="E13" s="7" t="s">
        <v>69</v>
      </c>
      <c r="F13" s="6" t="s">
        <v>204</v>
      </c>
      <c r="G13" s="4" t="s">
        <v>177</v>
      </c>
      <c r="H13" s="4" t="s">
        <v>123</v>
      </c>
      <c r="I13" s="4" t="s">
        <v>188</v>
      </c>
      <c r="J13" s="7" t="s">
        <v>51</v>
      </c>
      <c r="K13" s="17" t="s">
        <v>211</v>
      </c>
      <c r="L13" s="4" t="s">
        <v>71</v>
      </c>
      <c r="M13" s="4" t="s">
        <v>180</v>
      </c>
      <c r="N13" s="4" t="s">
        <v>147</v>
      </c>
      <c r="O13" s="7" t="s">
        <v>51</v>
      </c>
      <c r="P13" s="17" t="s">
        <v>203</v>
      </c>
      <c r="Q13" s="30"/>
    </row>
    <row r="14" spans="1:20 16382:16382" x14ac:dyDescent="0.25">
      <c r="A14" s="7">
        <v>10</v>
      </c>
      <c r="B14" s="4" t="s">
        <v>97</v>
      </c>
      <c r="C14" s="35">
        <v>80</v>
      </c>
      <c r="D14" s="4" t="s">
        <v>88</v>
      </c>
      <c r="E14" s="7" t="s">
        <v>71</v>
      </c>
      <c r="F14" s="6" t="s">
        <v>205</v>
      </c>
      <c r="G14" s="4" t="s">
        <v>178</v>
      </c>
      <c r="H14" s="4" t="s">
        <v>124</v>
      </c>
      <c r="I14" s="4" t="s">
        <v>189</v>
      </c>
      <c r="J14" s="7" t="s">
        <v>51</v>
      </c>
      <c r="K14" s="17" t="s">
        <v>212</v>
      </c>
      <c r="L14" s="4" t="s">
        <v>139</v>
      </c>
      <c r="M14" s="4" t="s">
        <v>139</v>
      </c>
      <c r="N14" s="4" t="s">
        <v>148</v>
      </c>
      <c r="O14" s="7" t="s">
        <v>51</v>
      </c>
      <c r="P14" s="17" t="s">
        <v>87</v>
      </c>
      <c r="Q14" s="30"/>
    </row>
    <row r="15" spans="1:20 16382:16382" x14ac:dyDescent="0.25">
      <c r="A15" s="9" t="s">
        <v>221</v>
      </c>
      <c r="B15" s="10"/>
      <c r="C15" s="10"/>
      <c r="D15" s="10"/>
      <c r="E15" s="9"/>
      <c r="F15" s="23" t="s">
        <v>252</v>
      </c>
      <c r="G15" s="21"/>
      <c r="H15" s="21"/>
      <c r="I15" s="21"/>
      <c r="J15" s="22"/>
      <c r="K15" s="24" t="s">
        <v>253</v>
      </c>
      <c r="L15" s="21"/>
      <c r="M15" s="21"/>
      <c r="N15" s="21"/>
      <c r="O15" s="22"/>
      <c r="P15" s="24" t="s">
        <v>254</v>
      </c>
      <c r="Q15" s="31"/>
      <c r="R15" t="s">
        <v>258</v>
      </c>
    </row>
    <row r="17" spans="1:29" x14ac:dyDescent="0.25">
      <c r="A17" s="25" t="s">
        <v>222</v>
      </c>
      <c r="B17" s="25"/>
      <c r="C17" s="25"/>
      <c r="D17" s="25"/>
      <c r="E17" s="25"/>
      <c r="F17" s="26" t="s">
        <v>255</v>
      </c>
      <c r="G17" s="27"/>
      <c r="H17" s="27"/>
      <c r="I17" s="27"/>
      <c r="J17" s="27"/>
      <c r="K17" s="28" t="s">
        <v>256</v>
      </c>
      <c r="L17" s="27"/>
      <c r="M17" s="27"/>
      <c r="N17" s="27"/>
      <c r="O17" s="27"/>
      <c r="P17" s="28" t="s">
        <v>257</v>
      </c>
    </row>
    <row r="18" spans="1:29" x14ac:dyDescent="0.25">
      <c r="A18" s="25"/>
      <c r="B18" s="25"/>
      <c r="C18" s="25"/>
      <c r="D18" s="25"/>
      <c r="E18" s="25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29" ht="21" x14ac:dyDescent="0.35">
      <c r="A19" s="11" t="s">
        <v>58</v>
      </c>
      <c r="B19" s="4"/>
      <c r="C19" s="4"/>
      <c r="D19" s="4"/>
      <c r="E19" s="4"/>
      <c r="F19" s="4"/>
      <c r="G19" s="4"/>
      <c r="H19" s="4"/>
      <c r="I19" s="4"/>
      <c r="J19" s="4"/>
      <c r="L19" s="4"/>
      <c r="M19" s="4"/>
      <c r="N19" s="4" t="s">
        <v>234</v>
      </c>
      <c r="O19" s="4"/>
      <c r="X19" t="s">
        <v>132</v>
      </c>
    </row>
    <row r="20" spans="1:29" x14ac:dyDescent="0.25">
      <c r="A20" s="4"/>
      <c r="B20" s="5" t="s">
        <v>45</v>
      </c>
      <c r="C20" s="4"/>
      <c r="D20" s="4"/>
      <c r="E20" s="4"/>
      <c r="F20" s="4"/>
      <c r="G20" s="5" t="s">
        <v>46</v>
      </c>
      <c r="H20" s="4"/>
      <c r="I20" s="4"/>
      <c r="J20" s="4"/>
      <c r="L20" s="5" t="s">
        <v>56</v>
      </c>
      <c r="M20" s="4"/>
      <c r="N20" s="4"/>
      <c r="O20" s="4"/>
    </row>
    <row r="21" spans="1:29" x14ac:dyDescent="0.25">
      <c r="A21" s="6" t="s">
        <v>43</v>
      </c>
      <c r="B21" s="4" t="s">
        <v>22</v>
      </c>
      <c r="C21" s="4" t="s">
        <v>4</v>
      </c>
      <c r="D21" s="4" t="s">
        <v>5</v>
      </c>
      <c r="E21" s="7" t="s">
        <v>44</v>
      </c>
      <c r="F21" s="6" t="s">
        <v>196</v>
      </c>
      <c r="G21" s="4" t="s">
        <v>47</v>
      </c>
      <c r="H21" s="4" t="s">
        <v>48</v>
      </c>
      <c r="I21" s="4" t="s">
        <v>49</v>
      </c>
      <c r="J21" s="7" t="s">
        <v>50</v>
      </c>
      <c r="K21" s="17" t="s">
        <v>196</v>
      </c>
      <c r="L21" s="4" t="s">
        <v>52</v>
      </c>
      <c r="M21" s="4" t="s">
        <v>53</v>
      </c>
      <c r="N21" s="4" t="s">
        <v>54</v>
      </c>
      <c r="O21" s="8" t="s">
        <v>55</v>
      </c>
      <c r="P21" s="17" t="s">
        <v>196</v>
      </c>
      <c r="Q21" s="30"/>
    </row>
    <row r="22" spans="1:29" x14ac:dyDescent="0.25">
      <c r="A22" s="9">
        <v>1</v>
      </c>
      <c r="B22" s="10" t="s">
        <v>90</v>
      </c>
      <c r="C22" s="34"/>
      <c r="D22" s="10" t="s">
        <v>75</v>
      </c>
      <c r="E22" s="9">
        <v>64</v>
      </c>
      <c r="F22" s="19">
        <f>AVERAGE(B22,D22,E22)</f>
        <v>64</v>
      </c>
      <c r="G22" s="14" t="s">
        <v>162</v>
      </c>
      <c r="H22" s="14" t="s">
        <v>99</v>
      </c>
      <c r="I22" s="14" t="s">
        <v>82</v>
      </c>
      <c r="J22" s="9" t="s">
        <v>51</v>
      </c>
      <c r="K22" s="18">
        <v>64</v>
      </c>
      <c r="L22" s="10" t="s">
        <v>82</v>
      </c>
      <c r="M22" s="10" t="s">
        <v>121</v>
      </c>
      <c r="N22" s="10" t="s">
        <v>191</v>
      </c>
      <c r="O22" s="9" t="s">
        <v>51</v>
      </c>
      <c r="P22" s="18">
        <v>98</v>
      </c>
      <c r="Q22" s="30"/>
    </row>
    <row r="23" spans="1:29" x14ac:dyDescent="0.25">
      <c r="A23" s="7">
        <v>2</v>
      </c>
      <c r="B23" s="4" t="s">
        <v>83</v>
      </c>
      <c r="C23" s="35"/>
      <c r="D23" s="4" t="s">
        <v>77</v>
      </c>
      <c r="E23" s="7">
        <v>21</v>
      </c>
      <c r="F23" s="20">
        <f t="shared" ref="F23:F27" si="0">AVERAGE(B23,D23,E23)</f>
        <v>21</v>
      </c>
      <c r="G23" s="15" t="s">
        <v>70</v>
      </c>
      <c r="H23" s="15" t="s">
        <v>80</v>
      </c>
      <c r="I23" s="15" t="s">
        <v>114</v>
      </c>
      <c r="J23" s="7" t="s">
        <v>51</v>
      </c>
      <c r="K23" s="17">
        <v>32</v>
      </c>
      <c r="L23" s="4" t="s">
        <v>80</v>
      </c>
      <c r="M23" s="4" t="s">
        <v>150</v>
      </c>
      <c r="N23" s="10" t="s">
        <v>225</v>
      </c>
      <c r="O23" s="7" t="s">
        <v>51</v>
      </c>
      <c r="P23" s="17">
        <v>52</v>
      </c>
      <c r="Q23" s="30"/>
    </row>
    <row r="24" spans="1:29" x14ac:dyDescent="0.25">
      <c r="A24" s="7">
        <v>3</v>
      </c>
      <c r="B24" s="4" t="s">
        <v>99</v>
      </c>
      <c r="C24" s="35"/>
      <c r="D24" s="4" t="s">
        <v>79</v>
      </c>
      <c r="E24" s="7">
        <v>91</v>
      </c>
      <c r="F24" s="20">
        <f t="shared" si="0"/>
        <v>91</v>
      </c>
      <c r="G24" s="15" t="s">
        <v>165</v>
      </c>
      <c r="H24" s="15" t="s">
        <v>111</v>
      </c>
      <c r="I24" s="15" t="s">
        <v>192</v>
      </c>
      <c r="J24" s="7" t="s">
        <v>51</v>
      </c>
      <c r="K24" s="17">
        <v>119</v>
      </c>
      <c r="L24" s="4" t="s">
        <v>128</v>
      </c>
      <c r="M24" s="10" t="s">
        <v>226</v>
      </c>
      <c r="N24" s="10" t="s">
        <v>226</v>
      </c>
      <c r="O24" s="7" t="s">
        <v>51</v>
      </c>
      <c r="P24" s="17">
        <v>151</v>
      </c>
      <c r="Q24" s="30"/>
      <c r="T24" t="s">
        <v>63</v>
      </c>
    </row>
    <row r="25" spans="1:29" x14ac:dyDescent="0.25">
      <c r="A25" s="7">
        <v>4</v>
      </c>
      <c r="B25" s="4" t="s">
        <v>100</v>
      </c>
      <c r="C25" s="35"/>
      <c r="D25" s="4" t="s">
        <v>80</v>
      </c>
      <c r="E25" s="10" t="s">
        <v>226</v>
      </c>
      <c r="F25" s="20" t="s">
        <v>232</v>
      </c>
      <c r="G25" s="10" t="s">
        <v>226</v>
      </c>
      <c r="H25" s="10" t="s">
        <v>226</v>
      </c>
      <c r="I25" s="10" t="s">
        <v>226</v>
      </c>
      <c r="J25" s="7" t="s">
        <v>51</v>
      </c>
      <c r="K25" s="17" t="s">
        <v>21</v>
      </c>
      <c r="L25" s="10" t="s">
        <v>226</v>
      </c>
      <c r="M25" s="10" t="s">
        <v>226</v>
      </c>
      <c r="N25" s="10" t="s">
        <v>226</v>
      </c>
      <c r="O25" s="7" t="s">
        <v>51</v>
      </c>
      <c r="P25" s="17" t="s">
        <v>21</v>
      </c>
      <c r="Q25" s="30"/>
    </row>
    <row r="26" spans="1:29" x14ac:dyDescent="0.25">
      <c r="A26" s="7">
        <v>5</v>
      </c>
      <c r="B26" s="4" t="s">
        <v>101</v>
      </c>
      <c r="C26" s="35"/>
      <c r="D26" s="4" t="s">
        <v>82</v>
      </c>
      <c r="E26" s="7">
        <v>32</v>
      </c>
      <c r="F26" s="20">
        <f t="shared" si="0"/>
        <v>32</v>
      </c>
      <c r="G26" s="15" t="s">
        <v>171</v>
      </c>
      <c r="H26" s="15" t="s">
        <v>116</v>
      </c>
      <c r="I26" s="15" t="s">
        <v>191</v>
      </c>
      <c r="J26" s="7" t="s">
        <v>51</v>
      </c>
      <c r="K26" s="17">
        <v>84</v>
      </c>
      <c r="L26" s="10" t="s">
        <v>226</v>
      </c>
      <c r="M26" s="4" t="s">
        <v>160</v>
      </c>
      <c r="N26" s="10" t="s">
        <v>226</v>
      </c>
      <c r="O26" s="7" t="s">
        <v>51</v>
      </c>
      <c r="P26" s="17">
        <v>158</v>
      </c>
      <c r="Q26" s="30"/>
    </row>
    <row r="27" spans="1:29" x14ac:dyDescent="0.25">
      <c r="A27" s="7">
        <v>6</v>
      </c>
      <c r="B27" s="4" t="s">
        <v>102</v>
      </c>
      <c r="C27" s="35"/>
      <c r="D27" s="4" t="s">
        <v>84</v>
      </c>
      <c r="E27" s="7">
        <v>25</v>
      </c>
      <c r="F27" s="20">
        <f t="shared" si="0"/>
        <v>25</v>
      </c>
      <c r="G27" s="15" t="s">
        <v>170</v>
      </c>
      <c r="H27" s="15" t="s">
        <v>102</v>
      </c>
      <c r="I27" s="15" t="s">
        <v>103</v>
      </c>
      <c r="J27" s="7" t="s">
        <v>51</v>
      </c>
      <c r="K27" s="17">
        <v>24</v>
      </c>
      <c r="L27" s="4" t="s">
        <v>84</v>
      </c>
      <c r="M27" s="4" t="s">
        <v>158</v>
      </c>
      <c r="N27" s="10" t="s">
        <v>230</v>
      </c>
      <c r="O27" s="7" t="s">
        <v>51</v>
      </c>
      <c r="P27" s="17">
        <v>56</v>
      </c>
      <c r="Q27" s="30"/>
      <c r="T27" t="s">
        <v>231</v>
      </c>
    </row>
    <row r="28" spans="1:29" x14ac:dyDescent="0.25">
      <c r="A28" s="9" t="s">
        <v>220</v>
      </c>
      <c r="B28" s="10"/>
      <c r="C28" s="34"/>
      <c r="D28" s="10"/>
      <c r="E28" s="9"/>
      <c r="F28" s="23" t="s">
        <v>233</v>
      </c>
      <c r="G28" s="32"/>
      <c r="H28" s="21"/>
      <c r="I28" s="21"/>
      <c r="J28" s="22"/>
      <c r="K28" s="24">
        <v>64.599999999999994</v>
      </c>
      <c r="L28" s="32"/>
      <c r="M28" s="21"/>
      <c r="N28" s="21"/>
      <c r="O28" s="22"/>
      <c r="P28" s="24">
        <v>103</v>
      </c>
      <c r="Q28" s="31"/>
      <c r="R28" s="4" t="s">
        <v>241</v>
      </c>
    </row>
    <row r="29" spans="1:29" x14ac:dyDescent="0.25">
      <c r="A29" s="9">
        <v>7</v>
      </c>
      <c r="B29" s="10" t="s">
        <v>103</v>
      </c>
      <c r="C29" s="34">
        <v>25</v>
      </c>
      <c r="D29" s="10" t="s">
        <v>226</v>
      </c>
      <c r="E29" s="10" t="s">
        <v>226</v>
      </c>
      <c r="F29" s="18">
        <v>130</v>
      </c>
      <c r="G29" s="10" t="s">
        <v>158</v>
      </c>
      <c r="H29" s="10" t="s">
        <v>117</v>
      </c>
      <c r="I29" s="10" t="s">
        <v>193</v>
      </c>
      <c r="J29" s="9" t="s">
        <v>51</v>
      </c>
      <c r="K29" s="18">
        <v>105</v>
      </c>
      <c r="L29" s="10" t="s">
        <v>135</v>
      </c>
      <c r="M29" s="10" t="s">
        <v>99</v>
      </c>
      <c r="N29" s="10" t="s">
        <v>229</v>
      </c>
      <c r="O29" s="9" t="s">
        <v>51</v>
      </c>
      <c r="P29" s="18">
        <v>103</v>
      </c>
      <c r="Q29" s="30"/>
    </row>
    <row r="30" spans="1:29" x14ac:dyDescent="0.25">
      <c r="A30" s="7">
        <v>8</v>
      </c>
      <c r="B30" s="4" t="s">
        <v>122</v>
      </c>
      <c r="C30" s="35" t="s">
        <v>21</v>
      </c>
      <c r="D30" s="10" t="s">
        <v>226</v>
      </c>
      <c r="E30" s="10" t="s">
        <v>226</v>
      </c>
      <c r="F30" s="17">
        <v>168</v>
      </c>
      <c r="G30" s="4" t="s">
        <v>179</v>
      </c>
      <c r="H30" s="4" t="s">
        <v>121</v>
      </c>
      <c r="I30" s="4" t="s">
        <v>195</v>
      </c>
      <c r="J30" s="7" t="s">
        <v>51</v>
      </c>
      <c r="K30" s="17">
        <v>163</v>
      </c>
      <c r="L30" s="10" t="s">
        <v>226</v>
      </c>
      <c r="M30" s="10" t="s">
        <v>226</v>
      </c>
      <c r="N30" s="10" t="s">
        <v>226</v>
      </c>
      <c r="O30" s="7" t="s">
        <v>51</v>
      </c>
      <c r="P30" s="17" t="s">
        <v>21</v>
      </c>
      <c r="Q30" s="30"/>
      <c r="T30" s="13" t="s">
        <v>194</v>
      </c>
      <c r="AC30" t="s">
        <v>152</v>
      </c>
    </row>
    <row r="31" spans="1:29" x14ac:dyDescent="0.25">
      <c r="A31" s="7">
        <v>9</v>
      </c>
      <c r="B31" s="4" t="s">
        <v>104</v>
      </c>
      <c r="C31" s="35" t="s">
        <v>102</v>
      </c>
      <c r="D31" s="4" t="s">
        <v>227</v>
      </c>
      <c r="E31" s="7" t="s">
        <v>72</v>
      </c>
      <c r="F31" s="17">
        <v>23</v>
      </c>
      <c r="G31" s="10" t="s">
        <v>226</v>
      </c>
      <c r="H31" s="10" t="s">
        <v>226</v>
      </c>
      <c r="I31" s="10" t="s">
        <v>226</v>
      </c>
      <c r="J31" s="7" t="s">
        <v>51</v>
      </c>
      <c r="K31" s="17" t="s">
        <v>21</v>
      </c>
      <c r="L31" s="10" t="s">
        <v>226</v>
      </c>
      <c r="M31" s="10" t="s">
        <v>226</v>
      </c>
      <c r="N31" s="10" t="s">
        <v>226</v>
      </c>
      <c r="O31" s="7" t="s">
        <v>51</v>
      </c>
      <c r="P31" s="17" t="s">
        <v>21</v>
      </c>
      <c r="Q31" s="30"/>
      <c r="T31" t="s">
        <v>146</v>
      </c>
      <c r="AC31" t="s">
        <v>153</v>
      </c>
    </row>
    <row r="32" spans="1:29" x14ac:dyDescent="0.25">
      <c r="A32" s="7">
        <v>10</v>
      </c>
      <c r="B32" s="4" t="s">
        <v>106</v>
      </c>
      <c r="C32" s="35" t="s">
        <v>105</v>
      </c>
      <c r="D32" s="4" t="s">
        <v>228</v>
      </c>
      <c r="E32" s="7" t="s">
        <v>73</v>
      </c>
      <c r="F32" s="17">
        <v>82</v>
      </c>
      <c r="G32" s="4" t="s">
        <v>228</v>
      </c>
      <c r="H32" s="4" t="s">
        <v>228</v>
      </c>
      <c r="I32" s="4" t="s">
        <v>228</v>
      </c>
      <c r="J32" s="7" t="s">
        <v>51</v>
      </c>
      <c r="K32" s="17" t="s">
        <v>21</v>
      </c>
      <c r="L32" s="10" t="s">
        <v>226</v>
      </c>
      <c r="M32" s="10" t="s">
        <v>226</v>
      </c>
      <c r="N32" s="10" t="s">
        <v>226</v>
      </c>
      <c r="O32" s="7" t="s">
        <v>51</v>
      </c>
      <c r="P32" s="17" t="s">
        <v>21</v>
      </c>
      <c r="Q32" s="30"/>
      <c r="T32" s="4" t="s">
        <v>190</v>
      </c>
      <c r="AC32" t="s">
        <v>156</v>
      </c>
    </row>
    <row r="33" spans="1:18" x14ac:dyDescent="0.25">
      <c r="A33" s="9" t="s">
        <v>221</v>
      </c>
      <c r="B33" s="10"/>
      <c r="C33" s="10"/>
      <c r="D33" s="10"/>
      <c r="E33" s="9"/>
      <c r="F33" s="23" t="s">
        <v>235</v>
      </c>
      <c r="G33" s="32"/>
      <c r="H33" s="21"/>
      <c r="I33" s="21"/>
      <c r="J33" s="22"/>
      <c r="K33" s="24">
        <v>134</v>
      </c>
      <c r="L33" s="32" t="s">
        <v>224</v>
      </c>
      <c r="M33" s="21"/>
      <c r="N33" s="21"/>
      <c r="O33" s="22"/>
      <c r="P33" s="24">
        <v>103</v>
      </c>
      <c r="Q33" s="31"/>
      <c r="R33">
        <v>110.57</v>
      </c>
    </row>
    <row r="34" spans="1:18" x14ac:dyDescent="0.25">
      <c r="D34" s="4"/>
      <c r="E34" s="4"/>
    </row>
    <row r="35" spans="1:18" x14ac:dyDescent="0.25">
      <c r="A35" s="25" t="s">
        <v>222</v>
      </c>
      <c r="B35" s="25"/>
      <c r="C35" s="25"/>
      <c r="D35" s="25"/>
      <c r="E35" s="25"/>
      <c r="F35" s="26" t="s">
        <v>236</v>
      </c>
      <c r="G35" s="27"/>
      <c r="H35" s="27"/>
      <c r="I35" s="27"/>
      <c r="J35" s="27"/>
      <c r="K35" s="28">
        <v>84.43</v>
      </c>
      <c r="L35" s="27"/>
      <c r="M35" s="27"/>
      <c r="N35" s="27"/>
      <c r="O35" s="27"/>
      <c r="P35" s="28">
        <v>103</v>
      </c>
    </row>
    <row r="37" spans="1:18" x14ac:dyDescent="0.25">
      <c r="B37" s="4" t="s">
        <v>218</v>
      </c>
      <c r="E37" s="4"/>
      <c r="M37" t="s">
        <v>113</v>
      </c>
    </row>
    <row r="38" spans="1:18" x14ac:dyDescent="0.25">
      <c r="B38" t="s">
        <v>107</v>
      </c>
    </row>
    <row r="40" spans="1:18" x14ac:dyDescent="0.25">
      <c r="M40" t="s">
        <v>118</v>
      </c>
      <c r="N40" s="12" t="s">
        <v>119</v>
      </c>
    </row>
  </sheetData>
  <pageMargins left="0.7" right="0.7" top="0.75" bottom="0.75" header="0.3" footer="0.3"/>
  <pageSetup orientation="portrait" r:id="rId1"/>
  <ignoredErrors>
    <ignoredError sqref="H24 I2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Pfeifer</dc:creator>
  <cp:lastModifiedBy>Jan Pfeifer</cp:lastModifiedBy>
  <dcterms:created xsi:type="dcterms:W3CDTF">2015-06-05T18:17:20Z</dcterms:created>
  <dcterms:modified xsi:type="dcterms:W3CDTF">2026-03-31T00:51:54Z</dcterms:modified>
</cp:coreProperties>
</file>